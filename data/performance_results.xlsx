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ster CS789\Sem 2\DSC769_ADST\Assignment\Project Inv\"/>
    </mc:Choice>
  </mc:AlternateContent>
  <xr:revisionPtr revIDLastSave="0" documentId="13_ncr:1_{FEC59CC6-8545-4DA2-9FE3-42A000B0867F}" xr6:coauthVersionLast="47" xr6:coauthVersionMax="47" xr10:uidLastSave="{00000000-0000-0000-0000-000000000000}"/>
  <bookViews>
    <workbookView xWindow="1820" yWindow="1820" windowWidth="19200" windowHeight="11170" xr2:uid="{92173ABF-F995-48F8-A2A9-8D386371B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4" i="1"/>
  <c r="F11" i="1"/>
  <c r="F5" i="1"/>
  <c r="F6" i="1"/>
  <c r="F7" i="1"/>
  <c r="F8" i="1"/>
  <c r="F9" i="1"/>
  <c r="F10" i="1"/>
  <c r="F12" i="1"/>
  <c r="F13" i="1"/>
  <c r="F4" i="1"/>
</calcChain>
</file>

<file path=xl/sharedStrings.xml><?xml version="1.0" encoding="utf-8"?>
<sst xmlns="http://schemas.openxmlformats.org/spreadsheetml/2006/main" count="17" uniqueCount="17">
  <si>
    <t>Hive - in cluster</t>
  </si>
  <si>
    <t>Average Exec. Time</t>
  </si>
  <si>
    <t>2nd run (ms)</t>
  </si>
  <si>
    <t>3rd run (ms)</t>
  </si>
  <si>
    <t>1st run (ms)</t>
  </si>
  <si>
    <t>External (parquet)</t>
  </si>
  <si>
    <t>Internal (parquet)</t>
  </si>
  <si>
    <t>Partitioned (parquet)</t>
  </si>
  <si>
    <t>Bucketed (parquet)</t>
  </si>
  <si>
    <t>External (textfile)</t>
  </si>
  <si>
    <t>Internal (textfile)</t>
  </si>
  <si>
    <t>Partitioned (textfile)</t>
  </si>
  <si>
    <t>Bucketed (textfile)</t>
  </si>
  <si>
    <t>Partitioned + Bucketed (textfile)</t>
  </si>
  <si>
    <t>Partitioned + Bucketed (parquet)</t>
  </si>
  <si>
    <t>File size (MB)</t>
  </si>
  <si>
    <t>File size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</si>
</sst>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CA01-D4DF-4D5B-8CB6-134EF236ADE1}">
  <dimension ref="A2:I37"/>
  <sheetViews>
    <sheetView tabSelected="1" zoomScale="80" zoomScaleNormal="80" workbookViewId="0">
      <selection activeCell="I4" sqref="I4"/>
    </sheetView>
  </sheetViews>
  <sheetFormatPr defaultRowHeight="14.5" x14ac:dyDescent="0.35"/>
  <cols>
    <col min="1" max="1" width="20.1796875" customWidth="1"/>
    <col min="2" max="2" width="29.26953125" bestFit="1" customWidth="1"/>
    <col min="3" max="3" width="10.90625" customWidth="1"/>
    <col min="4" max="4" width="11.54296875" customWidth="1"/>
    <col min="5" max="5" width="11.1796875" customWidth="1"/>
    <col min="6" max="6" width="17.54296875" customWidth="1"/>
    <col min="7" max="7" width="17.54296875" hidden="1" customWidth="1"/>
    <col min="8" max="8" width="12.6328125" customWidth="1"/>
    <col min="9" max="9" width="8.7265625" customWidth="1"/>
  </cols>
  <sheetData>
    <row r="2" spans="1:8" x14ac:dyDescent="0.35">
      <c r="C2" s="12"/>
      <c r="D2" s="12"/>
      <c r="E2" s="12"/>
      <c r="F2" s="5"/>
      <c r="G2" s="5"/>
      <c r="H2" s="5"/>
    </row>
    <row r="3" spans="1:8" x14ac:dyDescent="0.35">
      <c r="B3" s="1"/>
      <c r="C3" s="2" t="s">
        <v>4</v>
      </c>
      <c r="D3" s="2" t="s">
        <v>2</v>
      </c>
      <c r="E3" s="2" t="s">
        <v>3</v>
      </c>
      <c r="F3" s="3" t="s">
        <v>1</v>
      </c>
      <c r="G3" s="3" t="s">
        <v>16</v>
      </c>
      <c r="H3" s="6" t="s">
        <v>15</v>
      </c>
    </row>
    <row r="4" spans="1:8" x14ac:dyDescent="0.35">
      <c r="A4" s="11" t="s">
        <v>0</v>
      </c>
      <c r="B4" s="2" t="s">
        <v>9</v>
      </c>
      <c r="C4" s="1">
        <v>81.626999999999995</v>
      </c>
      <c r="D4" s="1">
        <v>103.473</v>
      </c>
      <c r="E4" s="1">
        <v>74.450999999999993</v>
      </c>
      <c r="F4" s="4">
        <f>AVERAGE(C4:E4)</f>
        <v>86.516999999999996</v>
      </c>
      <c r="G4" s="4">
        <v>370438279</v>
      </c>
      <c r="H4" s="7">
        <f>ROUND(G4/1048576, 2)</f>
        <v>353.28</v>
      </c>
    </row>
    <row r="5" spans="1:8" x14ac:dyDescent="0.35">
      <c r="A5" s="11"/>
      <c r="B5" s="2" t="s">
        <v>5</v>
      </c>
      <c r="C5" s="1">
        <v>100.92100000000001</v>
      </c>
      <c r="D5" s="1">
        <v>72.296999999999997</v>
      </c>
      <c r="E5" s="1">
        <v>72.108000000000004</v>
      </c>
      <c r="F5" s="8">
        <f t="shared" ref="F5:F13" si="0">AVERAGE(C5:E5)</f>
        <v>81.775333333333336</v>
      </c>
      <c r="G5" s="8">
        <v>122438664</v>
      </c>
      <c r="H5" s="7">
        <f t="shared" ref="H5:H13" si="1">ROUND(G5/1048576, 2)</f>
        <v>116.77</v>
      </c>
    </row>
    <row r="6" spans="1:8" x14ac:dyDescent="0.35">
      <c r="A6" s="11"/>
      <c r="B6" s="2" t="s">
        <v>10</v>
      </c>
      <c r="C6" s="1">
        <v>75.382000000000005</v>
      </c>
      <c r="D6" s="1">
        <v>77.045000000000002</v>
      </c>
      <c r="E6" s="1">
        <v>84.694999999999993</v>
      </c>
      <c r="F6" s="8">
        <f t="shared" si="0"/>
        <v>79.040666666666667</v>
      </c>
      <c r="G6" s="8">
        <v>370438279</v>
      </c>
      <c r="H6" s="7">
        <f t="shared" si="1"/>
        <v>353.28</v>
      </c>
    </row>
    <row r="7" spans="1:8" x14ac:dyDescent="0.35">
      <c r="A7" s="11"/>
      <c r="B7" s="2" t="s">
        <v>6</v>
      </c>
      <c r="C7" s="1">
        <v>75.52</v>
      </c>
      <c r="D7" s="1">
        <v>72.962999999999994</v>
      </c>
      <c r="E7" s="1">
        <v>82.015000000000001</v>
      </c>
      <c r="F7" s="8">
        <f t="shared" si="0"/>
        <v>76.832666666666668</v>
      </c>
      <c r="G7" s="8">
        <v>122438664</v>
      </c>
      <c r="H7" s="7">
        <f t="shared" si="1"/>
        <v>116.77</v>
      </c>
    </row>
    <row r="8" spans="1:8" x14ac:dyDescent="0.35">
      <c r="A8" s="11"/>
      <c r="B8" s="2" t="s">
        <v>11</v>
      </c>
      <c r="C8" s="1">
        <v>66.944999999999993</v>
      </c>
      <c r="D8" s="1">
        <v>64.045000000000002</v>
      </c>
      <c r="E8" s="1">
        <v>66.558000000000007</v>
      </c>
      <c r="F8" s="8">
        <f t="shared" si="0"/>
        <v>65.849333333333334</v>
      </c>
      <c r="G8" s="8">
        <v>300933759</v>
      </c>
      <c r="H8" s="7">
        <f t="shared" si="1"/>
        <v>286.99</v>
      </c>
    </row>
    <row r="9" spans="1:8" x14ac:dyDescent="0.35">
      <c r="A9" s="11"/>
      <c r="B9" s="2" t="s">
        <v>7</v>
      </c>
      <c r="C9" s="1">
        <v>57.814999999999998</v>
      </c>
      <c r="D9" s="1">
        <v>63.246000000000002</v>
      </c>
      <c r="E9" s="1">
        <v>67.805999999999997</v>
      </c>
      <c r="F9" s="8">
        <f t="shared" si="0"/>
        <v>62.955666666666673</v>
      </c>
      <c r="G9" s="8">
        <v>68548981</v>
      </c>
      <c r="H9" s="7">
        <f t="shared" si="1"/>
        <v>65.37</v>
      </c>
    </row>
    <row r="10" spans="1:8" x14ac:dyDescent="0.35">
      <c r="A10" s="11"/>
      <c r="B10" s="2" t="s">
        <v>12</v>
      </c>
      <c r="C10" s="1">
        <v>85.084999999999994</v>
      </c>
      <c r="D10" s="1">
        <v>72.355000000000004</v>
      </c>
      <c r="E10" s="1">
        <v>75.92</v>
      </c>
      <c r="F10" s="8">
        <f t="shared" si="0"/>
        <v>77.786666666666676</v>
      </c>
      <c r="G10" s="8">
        <v>370438279</v>
      </c>
      <c r="H10" s="7">
        <f t="shared" si="1"/>
        <v>353.28</v>
      </c>
    </row>
    <row r="11" spans="1:8" x14ac:dyDescent="0.35">
      <c r="A11" s="11"/>
      <c r="B11" s="2" t="s">
        <v>8</v>
      </c>
      <c r="C11" s="1">
        <v>83.451999999999998</v>
      </c>
      <c r="D11" s="1">
        <v>79.337000000000003</v>
      </c>
      <c r="E11" s="1">
        <v>68.647000000000006</v>
      </c>
      <c r="F11" s="8">
        <f>AVERAGE(C11:E11)</f>
        <v>77.145333333333326</v>
      </c>
      <c r="G11" s="9">
        <v>123866216</v>
      </c>
      <c r="H11" s="7">
        <f t="shared" si="1"/>
        <v>118.13</v>
      </c>
    </row>
    <row r="12" spans="1:8" x14ac:dyDescent="0.35">
      <c r="A12" s="11"/>
      <c r="B12" s="2" t="s">
        <v>13</v>
      </c>
      <c r="C12" s="1">
        <v>76.046000000000006</v>
      </c>
      <c r="D12" s="1">
        <v>75.489000000000004</v>
      </c>
      <c r="E12" s="1">
        <v>73.233999999999995</v>
      </c>
      <c r="F12" s="8">
        <f t="shared" si="0"/>
        <v>74.923000000000002</v>
      </c>
      <c r="G12" s="4">
        <v>300933759</v>
      </c>
      <c r="H12" s="7">
        <f t="shared" si="1"/>
        <v>286.99</v>
      </c>
    </row>
    <row r="13" spans="1:8" x14ac:dyDescent="0.35">
      <c r="A13" s="11"/>
      <c r="B13" s="2" t="s">
        <v>14</v>
      </c>
      <c r="C13" s="1">
        <v>68.275999999999996</v>
      </c>
      <c r="D13" s="1">
        <v>71.144999999999996</v>
      </c>
      <c r="E13" s="1">
        <v>68.224999999999994</v>
      </c>
      <c r="F13" s="8">
        <f t="shared" si="0"/>
        <v>69.215333333333334</v>
      </c>
      <c r="G13" s="4">
        <v>90478618</v>
      </c>
      <c r="H13" s="7">
        <f t="shared" si="1"/>
        <v>86.29</v>
      </c>
    </row>
    <row r="28" spans="9:9" x14ac:dyDescent="0.35">
      <c r="I28" s="10"/>
    </row>
    <row r="29" spans="9:9" x14ac:dyDescent="0.35">
      <c r="I29" s="10"/>
    </row>
    <row r="30" spans="9:9" x14ac:dyDescent="0.35">
      <c r="I30" s="10"/>
    </row>
    <row r="31" spans="9:9" x14ac:dyDescent="0.35">
      <c r="I31" s="10"/>
    </row>
    <row r="32" spans="9:9" x14ac:dyDescent="0.35">
      <c r="I32" s="10"/>
    </row>
    <row r="33" spans="9:9" x14ac:dyDescent="0.35">
      <c r="I33" s="10"/>
    </row>
    <row r="34" spans="9:9" x14ac:dyDescent="0.35">
      <c r="I34" s="10"/>
    </row>
    <row r="35" spans="9:9" x14ac:dyDescent="0.35">
      <c r="I35" s="10"/>
    </row>
    <row r="36" spans="9:9" x14ac:dyDescent="0.35">
      <c r="I36" s="10"/>
    </row>
    <row r="37" spans="9:9" x14ac:dyDescent="0.35">
      <c r="I37" s="10"/>
    </row>
  </sheetData>
  <mergeCells count="2">
    <mergeCell ref="A4:A13"/>
    <mergeCell ref="C2:E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Azlan Ismail</dc:creator>
  <cp:lastModifiedBy>MOHAMAD SHARUL BIN MOHAMAD AYUB</cp:lastModifiedBy>
  <dcterms:created xsi:type="dcterms:W3CDTF">2021-04-15T06:24:17Z</dcterms:created>
  <dcterms:modified xsi:type="dcterms:W3CDTF">2026-03-26T19:58:58Z</dcterms:modified>
</cp:coreProperties>
</file>